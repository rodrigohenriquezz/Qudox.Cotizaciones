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Tus datos" sheetId="2" state="visible" r:id="rId4"/>
    <sheet name="UNO" sheetId="3" state="visible" r:id="rId5"/>
    <sheet name="PRONTO" sheetId="4" state="visible" r:id="rId6"/>
    <sheet name="Resumen" sheetId="5" state="visible" r:id="rId7"/>
  </sheets>
  <definedNames>
    <definedName function="false" hidden="false" localSheetId="3" name="_xlnm.Print_Area" vbProcedure="false">PRONTO!$A$1:$F$44</definedName>
    <definedName function="false" hidden="false" localSheetId="2" name="_xlnm.Print_Area" vbProcedure="false">UNO!$A$1:$F$46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22" authorId="0">
      <text>
        <r>
          <rPr>
            <sz val="10"/>
            <rFont val="Arial"/>
            <family val="2"/>
          </rPr>
          <t xml:space="preserve">Monto fijo definido por QUDOX (dato publicado en la guía). No se modifica.</t>
        </r>
      </text>
    </comment>
    <comment ref="E23" authorId="0">
      <text>
        <r>
          <rPr>
            <sz val="10"/>
            <rFont val="Arial"/>
            <family val="2"/>
          </rPr>
          <t xml:space="preserve">Monto fijo definido por QUDOX (dato publicado en la guía). No se modifica.</t>
        </r>
      </text>
    </comment>
    <comment ref="E24" authorId="0">
      <text>
        <r>
          <rPr>
            <sz val="10"/>
            <rFont val="Arial"/>
            <family val="2"/>
          </rPr>
          <t xml:space="preserve">Monto fijo definido por QUDOX (dato publicado en la guía). No se modifica.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22" authorId="0">
      <text>
        <r>
          <rPr>
            <sz val="10"/>
            <rFont val="Arial"/>
            <family val="2"/>
          </rPr>
          <t xml:space="preserve">Monto fijo definido por QUDOX (dato publicado en la guía). No se modifica.</t>
        </r>
      </text>
    </comment>
    <comment ref="E23" authorId="0">
      <text>
        <r>
          <rPr>
            <sz val="10"/>
            <rFont val="Arial"/>
            <family val="2"/>
          </rPr>
          <t xml:space="preserve">Monto fijo definido por QUDOX (dato publicado en la guía). No se modifica.</t>
        </r>
      </text>
    </comment>
  </commentList>
</comments>
</file>

<file path=xl/sharedStrings.xml><?xml version="1.0" encoding="utf-8"?>
<sst xmlns="http://schemas.openxmlformats.org/spreadsheetml/2006/main" count="157" uniqueCount="106">
  <si>
    <t xml:space="preserve">QUDOX · COTIZACIONES INTERNACIONALES</t>
  </si>
  <si>
    <t xml:space="preserve">Plantilla de cotización · Honduras</t>
  </si>
  <si>
    <t xml:space="preserve">Llená solo las celdas amarillas. El resto ya trae lo que QUDOX necesita ver, y los totales se calculan solos.</t>
  </si>
  <si>
    <t xml:space="preserve">Cómo llenarla</t>
  </si>
  <si>
    <t xml:space="preserve">01</t>
  </si>
  <si>
    <t xml:space="preserve">Abrí la hoja «Tus datos» y completá el nombre de la productora, contacto, registro fiscal, fecha y el impuesto que aplicás.</t>
  </si>
  <si>
    <t xml:space="preserve">02</t>
  </si>
  <si>
    <t xml:space="preserve">En cada hoja de marca, pegá tu logo dentro del recuadro punteado de arriba a la derecha (Insertar &gt; Imagen).</t>
  </si>
  <si>
    <t xml:space="preserve">03</t>
  </si>
  <si>
    <t xml:space="preserve">Escribí el precio unitario de cada formato y de las coberturas, en dólares y solo el número. Por ejemplo: 150.</t>
  </si>
  <si>
    <t xml:space="preserve">04</t>
  </si>
  <si>
    <t xml:space="preserve">El presentador, el personaje «Azulito» y los props ya traen el monto fijo que QUDOX define. No hace falta tocarlos.</t>
  </si>
  <si>
    <t xml:space="preserve">05</t>
  </si>
  <si>
    <t xml:space="preserve">Completá los costos adicionales: se cobran solo cuando se usan, pero necesitamos el precio de cada uno.</t>
  </si>
  <si>
    <t xml:space="preserve">06</t>
  </si>
  <si>
    <t xml:space="preserve">Revisá la hoja «Resumen» y mandanos el archivo en Excel o exportado a PDF.</t>
  </si>
  <si>
    <t xml:space="preserve">Leyenda</t>
  </si>
  <si>
    <t xml:space="preserve">Celda amarilla: la llenás vos. El texto que escribís sale en azul.</t>
  </si>
  <si>
    <t xml:space="preserve">Celda gris o blanca: ya está definida por QUDOX o se calcula sola. Está bloqueada para que no se mueva.</t>
  </si>
  <si>
    <t xml:space="preserve">Condiciones</t>
  </si>
  <si>
    <t xml:space="preserve">·</t>
  </si>
  <si>
    <t xml:space="preserve">Una cotización por marca. Cada hoja de marca es una cotización aparte.</t>
  </si>
  <si>
    <t xml:space="preserve">Precio desglosado por servicio y por formato. No queremos un monto global.</t>
  </si>
  <si>
    <t xml:space="preserve">Las coberturas son intercambiables por una sesión de microtrends al mismo precio.</t>
  </si>
  <si>
    <t xml:space="preserve">El pago se realiza a 45 días calendario contra entrega de factura en físico. El servicio es mes a mes.</t>
  </si>
  <si>
    <t xml:space="preserve">Los montos del presentador, el Azulito y los props los asume la productora, que liquida directamente al talento.</t>
  </si>
  <si>
    <t xml:space="preserve">Guía completa: https://qudox-cotizaciones.pages.dev/</t>
  </si>
  <si>
    <t xml:space="preserve">TUS DATOS</t>
  </si>
  <si>
    <t xml:space="preserve">Se llenan una sola vez y aparecen en todas las hojas</t>
  </si>
  <si>
    <t xml:space="preserve">Productora</t>
  </si>
  <si>
    <t xml:space="preserve">Nombre comercial</t>
  </si>
  <si>
    <t xml:space="preserve">Persona de contacto</t>
  </si>
  <si>
    <t xml:space="preserve">Cargo</t>
  </si>
  <si>
    <t xml:space="preserve">Correo</t>
  </si>
  <si>
    <t xml:space="preserve">WhatsApp</t>
  </si>
  <si>
    <t xml:space="preserve">Con código de país</t>
  </si>
  <si>
    <t xml:space="preserve">Ciudad</t>
  </si>
  <si>
    <t xml:space="preserve">RTN</t>
  </si>
  <si>
    <t xml:space="preserve">Registro fiscal de la productora</t>
  </si>
  <si>
    <t xml:space="preserve">Sitio web o portafolio</t>
  </si>
  <si>
    <t xml:space="preserve">Link a trabajos anteriores</t>
  </si>
  <si>
    <t xml:space="preserve">N.° de cotización</t>
  </si>
  <si>
    <t xml:space="preserve">Tu numeración interna</t>
  </si>
  <si>
    <t xml:space="preserve">Fecha</t>
  </si>
  <si>
    <t xml:space="preserve">dd/mm/aaaa</t>
  </si>
  <si>
    <t xml:space="preserve">Vigencia (días)</t>
  </si>
  <si>
    <t xml:space="preserve">Cuántos días respetás estos precios</t>
  </si>
  <si>
    <t xml:space="preserve">ISV que aplicás (%)</t>
  </si>
  <si>
    <t xml:space="preserve">Escribí 15 para 15 %. Dejalo vacío si tus precios ya lo incluyen.</t>
  </si>
  <si>
    <t xml:space="preserve">COTIZACIÓN · PLAN MENSUAL</t>
  </si>
  <si>
    <t xml:space="preserve">Tu logo aquí
(Insertar &gt; Imagen)</t>
  </si>
  <si>
    <t xml:space="preserve">Gasolineras UNO</t>
  </si>
  <si>
    <t xml:space="preserve">Honduras · Cliente: QUDOX · Moneda: dólares (USD)</t>
  </si>
  <si>
    <t xml:space="preserve">Contacto</t>
  </si>
  <si>
    <t xml:space="preserve">Vigencia</t>
  </si>
  <si>
    <t xml:space="preserve">Concepto</t>
  </si>
  <si>
    <t xml:space="preserve">Qué incluye</t>
  </si>
  <si>
    <t xml:space="preserve">Cantidad</t>
  </si>
  <si>
    <t xml:space="preserve">Precio unitario</t>
  </si>
  <si>
    <t xml:space="preserve">Subtotal</t>
  </si>
  <si>
    <t xml:space="preserve">1. Short videos · 7 videos al mes</t>
  </si>
  <si>
    <t xml:space="preserve">Producción</t>
  </si>
  <si>
    <t xml:space="preserve">Dificultad alta. Guion creativo, grabación, dirección y edición extensa: logos, animaciones, subtítulos de marca, transiciones y efectos de sonido.</t>
  </si>
  <si>
    <t xml:space="preserve">Microproducción</t>
  </si>
  <si>
    <t xml:space="preserve">Dificultad media. Idea general y CTA, grabación, dirección y edición general, orgánica y sin subtítulos.</t>
  </si>
  <si>
    <t xml:space="preserve">Tendencia</t>
  </si>
  <si>
    <t xml:space="preserve">Dificultad baja. Lectura de la tendencia, grabación, dirección y edición general con textos y gráficos en pantalla.</t>
  </si>
  <si>
    <t xml:space="preserve">Presentador</t>
  </si>
  <si>
    <t xml:space="preserve">L3,312 que se le pagan al talento por los 7 videos. Pago mensual fijo.</t>
  </si>
  <si>
    <t xml:space="preserve">Personaje «Azulito»</t>
  </si>
  <si>
    <t xml:space="preserve">Aparece en cerca del 50 % de los videos. El disfraz lo provee el cliente; la productora se encarga del resguardo, lavado y planchado.</t>
  </si>
  <si>
    <t xml:space="preserve">Props e impresiones</t>
  </si>
  <si>
    <t xml:space="preserve">Compra de materiales e impresión física de artes. Monto fijo mensual, aunque no se use todo.</t>
  </si>
  <si>
    <t xml:space="preserve">Subtotal short videos</t>
  </si>
  <si>
    <t xml:space="preserve">2. Coberturas · 2 al mes</t>
  </si>
  <si>
    <t xml:space="preserve">Cobertura estándar de hasta 3 h</t>
  </si>
  <si>
    <t xml:space="preserve">Entregables: 8 historias en tiempo real, 25 a 30 fotos editadas y 1 video recap vertical de máx. 1 min. Herramientas: Cámara profesional solo para fotografías. Historias y video recap con celular, micrófonos, estabilizador y luces. Intercambiable por una sesión de microtrends (4 piezas en crudo) al mismo precio.</t>
  </si>
  <si>
    <t xml:space="preserve">Subtotal coberturas</t>
  </si>
  <si>
    <t xml:space="preserve">Subtotal plan mensual</t>
  </si>
  <si>
    <t xml:space="preserve">Total plan mensual</t>
  </si>
  <si>
    <t xml:space="preserve">Costos adicionales · fuera del plan, se cobran solo cuando se usan</t>
  </si>
  <si>
    <t xml:space="preserve">Jornada fuera del área metropolitana</t>
  </si>
  <si>
    <t xml:space="preserve">Un solo costo por jornada: traslado, viáticos y tiempo del equipo.</t>
  </si>
  <si>
    <t xml:space="preserve">por jornada</t>
  </si>
  <si>
    <t xml:space="preserve">Cobertura nocturna o de concierto</t>
  </si>
  <si>
    <t xml:space="preserve">De 4 a 5 h. Entregables: 8 historias, de 30 a 35 fotos editadas y 1 video recap. Mismas herramientas que la estándar.</t>
  </si>
  <si>
    <t xml:space="preserve">por cobertura</t>
  </si>
  <si>
    <t xml:space="preserve">Cobertura en formato pro</t>
  </si>
  <si>
    <t xml:space="preserve">Equipo de 3 personas (fotógrafo, videógrafo y creador de contenido). Cámara profesional también para video y recap, esquema de luces y, según el evento, dron o cámara 360. Mismos entregables que la cobertura que mejora.</t>
  </si>
  <si>
    <t xml:space="preserve">Notas de la productora</t>
  </si>
  <si>
    <t xml:space="preserve">Pago a 45 días calendario contra entrega de factura en físico. Servicio mes a mes, sin contrato por plazo fijo.</t>
  </si>
  <si>
    <t xml:space="preserve">Tiendas PRONTO</t>
  </si>
  <si>
    <t xml:space="preserve">1. Short videos · 4 videos al mes</t>
  </si>
  <si>
    <t xml:space="preserve">$80 que se le pagan al talento por los 4 videos. Pago mensual fijo.</t>
  </si>
  <si>
    <t xml:space="preserve">2. Coberturas · 1 al mes</t>
  </si>
  <si>
    <t xml:space="preserve">Entregables: 6 a 8 historias en tiempo real, 25 a 30 fotos editadas y 1 video recap vertical de máx. 1 min. Herramientas: Cámara profesional solo para fotografías. Historias y video recap con celular, micrófonos, estabilizador y luces. Intercambiable por una sesión de microtrends (6 piezas en crudo) al mismo precio.</t>
  </si>
  <si>
    <t xml:space="preserve">RESUMEN</t>
  </si>
  <si>
    <t xml:space="preserve">Totales por marca · Honduras</t>
  </si>
  <si>
    <t xml:space="preserve">Se calcula solo con lo que llenaste en cada hoja. Montos en USD.</t>
  </si>
  <si>
    <t xml:space="preserve">Cotización</t>
  </si>
  <si>
    <t xml:space="preserve">Short videos</t>
  </si>
  <si>
    <t xml:space="preserve">Coberturas</t>
  </si>
  <si>
    <t xml:space="preserve">ISV</t>
  </si>
  <si>
    <t xml:space="preserve">Total mensual</t>
  </si>
  <si>
    <t xml:space="preserve">UNO</t>
  </si>
  <si>
    <t xml:space="preserve">PRONTO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</si>
</sst>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0"/>
    <numFmt numFmtId="167" formatCode="0.0\%"/>
    <numFmt numFmtId="168" formatCode="\$#,##0.00;&quot;($&quot;#,##0.00\);\-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CA65E"/>
      <name val="Arial"/>
      <family val="0"/>
      <charset val="1"/>
    </font>
    <font>
      <b val="true"/>
      <sz val="18"/>
      <color rgb="FF1E201E"/>
      <name val="Arial"/>
      <family val="0"/>
      <charset val="1"/>
    </font>
    <font>
      <sz val="10"/>
      <color rgb="FF6B706C"/>
      <name val="Arial"/>
      <family val="0"/>
      <charset val="1"/>
    </font>
    <font>
      <b val="true"/>
      <sz val="12"/>
      <color rgb="FF1E201E"/>
      <name val="Arial"/>
      <family val="0"/>
      <charset val="1"/>
    </font>
    <font>
      <b val="true"/>
      <sz val="10"/>
      <color rgb="FF2CA65E"/>
      <name val="Arial"/>
      <family val="0"/>
      <charset val="1"/>
    </font>
    <font>
      <sz val="10"/>
      <color rgb="FF1E201E"/>
      <name val="Arial"/>
      <family val="0"/>
      <charset val="1"/>
    </font>
    <font>
      <sz val="10"/>
      <color rgb="FF2CA65E"/>
      <name val="Arial"/>
      <family val="0"/>
      <charset val="1"/>
    </font>
    <font>
      <b val="true"/>
      <sz val="14"/>
      <color rgb="FF1E201E"/>
      <name val="Arial"/>
      <family val="0"/>
      <charset val="1"/>
    </font>
    <font>
      <b val="true"/>
      <sz val="10"/>
      <color rgb="FF1E201E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9AA09B"/>
      <name val="Arial"/>
      <family val="0"/>
      <charset val="1"/>
    </font>
    <font>
      <b val="true"/>
      <sz val="9"/>
      <color rgb="FF6B706C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6B706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2"/>
    </font>
    <font>
      <b val="true"/>
      <sz val="16"/>
      <color rgb="FF1E201E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6CC"/>
        <bgColor rgb="FFF6F7F5"/>
      </patternFill>
    </fill>
    <fill>
      <patternFill patternType="solid">
        <fgColor rgb="FFF6F7F5"/>
        <bgColor rgb="FFE8F6EE"/>
      </patternFill>
    </fill>
    <fill>
      <patternFill patternType="solid">
        <fgColor rgb="FF1E201E"/>
        <bgColor rgb="FF333300"/>
      </patternFill>
    </fill>
    <fill>
      <patternFill patternType="solid">
        <fgColor rgb="FFE8F6EE"/>
        <bgColor rgb="FFF6F7F5"/>
      </patternFill>
    </fill>
    <fill>
      <patternFill patternType="solid">
        <fgColor rgb="FF2CA65E"/>
        <bgColor rgb="FF00808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E8C95A"/>
      </left>
      <right style="thin">
        <color rgb="FFE8C95A"/>
      </right>
      <top style="thin">
        <color rgb="FFE8C95A"/>
      </top>
      <bottom style="thin">
        <color rgb="FFE8C95A"/>
      </bottom>
      <diagonal/>
    </border>
    <border diagonalUp="false" diagonalDown="false">
      <left style="thin">
        <color rgb="FFE3E6E3"/>
      </left>
      <right style="thin">
        <color rgb="FFE3E6E3"/>
      </right>
      <top style="thin">
        <color rgb="FFE3E6E3"/>
      </top>
      <bottom style="thin">
        <color rgb="FFE3E6E3"/>
      </bottom>
      <diagonal/>
    </border>
    <border diagonalUp="false" diagonalDown="false">
      <left style="dashed">
        <color rgb="FF9AA09B"/>
      </left>
      <right style="dashed">
        <color rgb="FF9AA09B"/>
      </right>
      <top style="dashed">
        <color rgb="FF9AA09B"/>
      </top>
      <bottom style="dashed">
        <color rgb="FF9AA09B"/>
      </bottom>
      <diagonal/>
    </border>
    <border diagonalUp="false" diagonalDown="false">
      <left/>
      <right/>
      <top/>
      <bottom style="thin">
        <color rgb="FFE3E6E3"/>
      </bottom>
      <diagonal/>
    </border>
    <border diagonalUp="false" diagonalDown="false">
      <left/>
      <right/>
      <top style="thin">
        <color rgb="FF9AA09B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2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6" fontId="13" fillId="2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7" fontId="13" fillId="2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4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13" fillId="2" borderId="4" xfId="0" applyFont="true" applyBorder="true" applyAlignment="true" applyProtection="true">
      <alignment horizontal="right" vertical="top" textRotation="0" wrapText="false" indent="0" shrinkToFit="false"/>
      <protection locked="false" hidden="false"/>
    </xf>
    <xf numFmtId="168" fontId="12" fillId="0" borderId="4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13" fillId="3" borderId="4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6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0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4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3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CC"/>
      <rgbColor rgb="FFE8F6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6F7F5"/>
      <rgbColor rgb="FFE3E6E3"/>
      <rgbColor rgb="FFFFFF99"/>
      <rgbColor rgb="FF99CCFF"/>
      <rgbColor rgb="FFFF99CC"/>
      <rgbColor rgb="FFCC99FF"/>
      <rgbColor rgb="FFE8C95A"/>
      <rgbColor rgb="FF3366FF"/>
      <rgbColor rgb="FF33CCCC"/>
      <rgbColor rgb="FF99CC00"/>
      <rgbColor rgb="FFFFCC00"/>
      <rgbColor rgb="FFFF9900"/>
      <rgbColor rgb="FFFF6600"/>
      <rgbColor rgb="FF6B706C"/>
      <rgbColor rgb="FF9AA09B"/>
      <rgbColor rgb="FF003366"/>
      <rgbColor rgb="FF2CA65E"/>
      <rgbColor rgb="FF003300"/>
      <rgbColor rgb="FF333300"/>
      <rgbColor rgb="FF993300"/>
      <rgbColor rgb="FF993366"/>
      <rgbColor rgb="FF333399"/>
      <rgbColor rgb="FF1E20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"/>
    <col collapsed="false" customWidth="true" hidden="false" outlineLevel="0" max="3" min="3" style="0" width="92"/>
  </cols>
  <sheetData>
    <row r="2" customFormat="false" ht="15" hidden="false" customHeight="false" outlineLevel="0" collapsed="false">
      <c r="B2" s="1" t="s">
        <v>0</v>
      </c>
    </row>
    <row r="3" customFormat="false" ht="22.0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5" hidden="false" customHeight="false" outlineLevel="0" collapsed="false">
      <c r="B6" s="4" t="s">
        <v>3</v>
      </c>
    </row>
    <row r="7" customFormat="false" ht="27.75" hidden="false" customHeight="true" outlineLevel="0" collapsed="false">
      <c r="B7" s="5" t="s">
        <v>4</v>
      </c>
      <c r="C7" s="6" t="s">
        <v>5</v>
      </c>
    </row>
    <row r="8" customFormat="false" ht="27.75" hidden="false" customHeight="true" outlineLevel="0" collapsed="false">
      <c r="B8" s="5" t="s">
        <v>6</v>
      </c>
      <c r="C8" s="6" t="s">
        <v>7</v>
      </c>
    </row>
    <row r="9" customFormat="false" ht="27.75" hidden="false" customHeight="true" outlineLevel="0" collapsed="false">
      <c r="B9" s="5" t="s">
        <v>8</v>
      </c>
      <c r="C9" s="6" t="s">
        <v>9</v>
      </c>
    </row>
    <row r="10" customFormat="false" ht="27.75" hidden="false" customHeight="true" outlineLevel="0" collapsed="false">
      <c r="B10" s="5" t="s">
        <v>10</v>
      </c>
      <c r="C10" s="6" t="s">
        <v>11</v>
      </c>
    </row>
    <row r="11" customFormat="false" ht="27.75" hidden="false" customHeight="true" outlineLevel="0" collapsed="false">
      <c r="B11" s="5" t="s">
        <v>12</v>
      </c>
      <c r="C11" s="6" t="s">
        <v>13</v>
      </c>
    </row>
    <row r="12" customFormat="false" ht="27.75" hidden="false" customHeight="true" outlineLevel="0" collapsed="false">
      <c r="B12" s="5" t="s">
        <v>14</v>
      </c>
      <c r="C12" s="6" t="s">
        <v>15</v>
      </c>
    </row>
    <row r="14" customFormat="false" ht="15" hidden="false" customHeight="false" outlineLevel="0" collapsed="false">
      <c r="B14" s="4" t="s">
        <v>16</v>
      </c>
    </row>
    <row r="15" customFormat="false" ht="15" hidden="false" customHeight="false" outlineLevel="0" collapsed="false">
      <c r="B15" s="7"/>
      <c r="C15" s="8" t="s">
        <v>17</v>
      </c>
    </row>
    <row r="16" customFormat="false" ht="15" hidden="false" customHeight="false" outlineLevel="0" collapsed="false">
      <c r="B16" s="9"/>
      <c r="C16" s="8" t="s">
        <v>18</v>
      </c>
    </row>
    <row r="18" customFormat="false" ht="15" hidden="false" customHeight="false" outlineLevel="0" collapsed="false">
      <c r="B18" s="4" t="s">
        <v>19</v>
      </c>
    </row>
    <row r="19" customFormat="false" ht="15" hidden="false" customHeight="false" outlineLevel="0" collapsed="false">
      <c r="B19" s="10" t="s">
        <v>20</v>
      </c>
      <c r="C19" s="11" t="s">
        <v>21</v>
      </c>
    </row>
    <row r="20" customFormat="false" ht="15" hidden="false" customHeight="false" outlineLevel="0" collapsed="false">
      <c r="B20" s="10" t="s">
        <v>20</v>
      </c>
      <c r="C20" s="11" t="s">
        <v>22</v>
      </c>
    </row>
    <row r="21" customFormat="false" ht="15" hidden="false" customHeight="false" outlineLevel="0" collapsed="false">
      <c r="B21" s="10" t="s">
        <v>20</v>
      </c>
      <c r="C21" s="11" t="s">
        <v>23</v>
      </c>
    </row>
    <row r="22" customFormat="false" ht="15" hidden="false" customHeight="false" outlineLevel="0" collapsed="false">
      <c r="B22" s="10" t="s">
        <v>20</v>
      </c>
      <c r="C22" s="11" t="s">
        <v>24</v>
      </c>
    </row>
    <row r="23" customFormat="false" ht="15" hidden="false" customHeight="false" outlineLevel="0" collapsed="false">
      <c r="B23" s="10" t="s">
        <v>20</v>
      </c>
      <c r="C23" s="11" t="s">
        <v>25</v>
      </c>
    </row>
    <row r="25" customFormat="false" ht="15" hidden="false" customHeight="false" outlineLevel="0" collapsed="false">
      <c r="B25" s="12" t="s">
        <v>26</v>
      </c>
    </row>
  </sheetData>
  <sheetProtection sheet="tru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4" min="3" style="0" width="48"/>
  </cols>
  <sheetData>
    <row r="2" customFormat="false" ht="15" hidden="false" customHeight="false" outlineLevel="0" collapsed="false">
      <c r="B2" s="1" t="s">
        <v>27</v>
      </c>
    </row>
    <row r="3" customFormat="false" ht="17.35" hidden="false" customHeight="false" outlineLevel="0" collapsed="false">
      <c r="B3" s="13" t="s">
        <v>28</v>
      </c>
    </row>
    <row r="5" customFormat="false" ht="19.5" hidden="false" customHeight="true" outlineLevel="0" collapsed="false">
      <c r="B5" s="14" t="s">
        <v>29</v>
      </c>
      <c r="C5" s="15"/>
      <c r="D5" s="16" t="s">
        <v>30</v>
      </c>
    </row>
    <row r="6" customFormat="false" ht="19.5" hidden="false" customHeight="true" outlineLevel="0" collapsed="false">
      <c r="B6" s="14" t="s">
        <v>31</v>
      </c>
      <c r="C6" s="15"/>
      <c r="D6" s="16"/>
    </row>
    <row r="7" customFormat="false" ht="19.5" hidden="false" customHeight="true" outlineLevel="0" collapsed="false">
      <c r="B7" s="14" t="s">
        <v>32</v>
      </c>
      <c r="C7" s="15"/>
      <c r="D7" s="16"/>
    </row>
    <row r="8" customFormat="false" ht="19.5" hidden="false" customHeight="true" outlineLevel="0" collapsed="false">
      <c r="B8" s="14" t="s">
        <v>33</v>
      </c>
      <c r="C8" s="15"/>
      <c r="D8" s="16"/>
    </row>
    <row r="9" customFormat="false" ht="19.5" hidden="false" customHeight="true" outlineLevel="0" collapsed="false">
      <c r="B9" s="14" t="s">
        <v>34</v>
      </c>
      <c r="C9" s="15"/>
      <c r="D9" s="16" t="s">
        <v>35</v>
      </c>
    </row>
    <row r="10" customFormat="false" ht="19.5" hidden="false" customHeight="true" outlineLevel="0" collapsed="false">
      <c r="B10" s="14" t="s">
        <v>36</v>
      </c>
      <c r="C10" s="15"/>
      <c r="D10" s="16"/>
    </row>
    <row r="11" customFormat="false" ht="19.5" hidden="false" customHeight="true" outlineLevel="0" collapsed="false">
      <c r="B11" s="14" t="s">
        <v>37</v>
      </c>
      <c r="C11" s="15"/>
      <c r="D11" s="16" t="s">
        <v>38</v>
      </c>
    </row>
    <row r="12" customFormat="false" ht="19.5" hidden="false" customHeight="true" outlineLevel="0" collapsed="false">
      <c r="B12" s="14" t="s">
        <v>39</v>
      </c>
      <c r="C12" s="15"/>
      <c r="D12" s="16" t="s">
        <v>40</v>
      </c>
    </row>
    <row r="13" customFormat="false" ht="19.5" hidden="false" customHeight="true" outlineLevel="0" collapsed="false">
      <c r="B13" s="14" t="s">
        <v>41</v>
      </c>
      <c r="C13" s="15"/>
      <c r="D13" s="16" t="s">
        <v>42</v>
      </c>
    </row>
    <row r="14" customFormat="false" ht="19.5" hidden="false" customHeight="true" outlineLevel="0" collapsed="false">
      <c r="B14" s="14" t="s">
        <v>43</v>
      </c>
      <c r="C14" s="17"/>
      <c r="D14" s="16" t="s">
        <v>44</v>
      </c>
    </row>
    <row r="15" customFormat="false" ht="19.5" hidden="false" customHeight="true" outlineLevel="0" collapsed="false">
      <c r="B15" s="14" t="s">
        <v>45</v>
      </c>
      <c r="C15" s="18"/>
      <c r="D15" s="16" t="s">
        <v>46</v>
      </c>
    </row>
    <row r="16" customFormat="false" ht="19.5" hidden="false" customHeight="true" outlineLevel="0" collapsed="false">
      <c r="B16" s="14" t="s">
        <v>47</v>
      </c>
      <c r="C16" s="19"/>
      <c r="D16" s="16" t="s">
        <v>48</v>
      </c>
    </row>
  </sheetData>
  <sheetProtection sheet="true"/>
  <dataValidations count="1">
    <dataValidation allowBlank="true" error="Escribí un porcentaje entre 0 y 100" errorStyle="stop" errorTitle="Impuesto" operator="between" showDropDown="false" showErrorMessage="false" showInputMessage="false" sqref="C16" type="decimal">
      <formula1>0</formula1>
      <formula2>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7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54"/>
    <col collapsed="false" customWidth="true" hidden="false" outlineLevel="0" max="4" min="4" style="0" width="10"/>
    <col collapsed="false" customWidth="true" hidden="false" outlineLevel="0" max="6" min="5" style="0" width="17"/>
  </cols>
  <sheetData>
    <row r="2" customFormat="false" ht="15" hidden="false" customHeight="true" outlineLevel="0" collapsed="false">
      <c r="B2" s="1" t="s">
        <v>49</v>
      </c>
      <c r="E2" s="20" t="s">
        <v>50</v>
      </c>
      <c r="F2" s="20"/>
    </row>
    <row r="3" customFormat="false" ht="22.05" hidden="false" customHeight="false" outlineLevel="0" collapsed="false">
      <c r="B3" s="2" t="s">
        <v>51</v>
      </c>
      <c r="E3" s="20"/>
      <c r="F3" s="20"/>
    </row>
    <row r="4" customFormat="false" ht="15" hidden="false" customHeight="false" outlineLevel="0" collapsed="false">
      <c r="B4" s="3" t="s">
        <v>52</v>
      </c>
      <c r="E4" s="20"/>
      <c r="F4" s="20"/>
    </row>
    <row r="5" customFormat="false" ht="15" hidden="false" customHeight="false" outlineLevel="0" collapsed="false">
      <c r="E5" s="20"/>
      <c r="F5" s="20"/>
    </row>
    <row r="6" customFormat="false" ht="15" hidden="false" customHeight="false" outlineLevel="0" collapsed="false">
      <c r="E6" s="20"/>
      <c r="F6" s="20"/>
    </row>
    <row r="8" customFormat="false" ht="15" hidden="false" customHeight="false" outlineLevel="0" collapsed="false">
      <c r="B8" s="21" t="s">
        <v>29</v>
      </c>
      <c r="C8" s="22" t="str">
        <f aca="false">IF('Tus datos'!$C$5="","—",'Tus datos'!$C$5)</f>
        <v>—</v>
      </c>
    </row>
    <row r="9" customFormat="false" ht="15" hidden="false" customHeight="false" outlineLevel="0" collapsed="false">
      <c r="B9" s="21" t="s">
        <v>53</v>
      </c>
      <c r="C9" s="22" t="str">
        <f aca="false">IF('Tus datos'!$C$6="","—",'Tus datos'!$C$6)</f>
        <v>—</v>
      </c>
    </row>
    <row r="10" customFormat="false" ht="15" hidden="false" customHeight="false" outlineLevel="0" collapsed="false">
      <c r="B10" s="21" t="s">
        <v>33</v>
      </c>
      <c r="C10" s="22" t="str">
        <f aca="false">IF('Tus datos'!$C$8="","—",'Tus datos'!$C$8)</f>
        <v>—</v>
      </c>
    </row>
    <row r="11" customFormat="false" ht="15" hidden="false" customHeight="false" outlineLevel="0" collapsed="false">
      <c r="B11" s="21" t="s">
        <v>34</v>
      </c>
      <c r="C11" s="22" t="str">
        <f aca="false">IF('Tus datos'!$C$9="","—",'Tus datos'!$C$9)</f>
        <v>—</v>
      </c>
    </row>
    <row r="12" customFormat="false" ht="15" hidden="false" customHeight="false" outlineLevel="0" collapsed="false">
      <c r="B12" s="21" t="s">
        <v>37</v>
      </c>
      <c r="C12" s="22" t="str">
        <f aca="false">IF('Tus datos'!$C$11="","—",'Tus datos'!$C$11)</f>
        <v>—</v>
      </c>
    </row>
    <row r="13" customFormat="false" ht="15" hidden="false" customHeight="false" outlineLevel="0" collapsed="false">
      <c r="B13" s="21" t="s">
        <v>41</v>
      </c>
      <c r="C13" s="22" t="str">
        <f aca="false">IF('Tus datos'!$C$13="","—",'Tus datos'!$C$13)</f>
        <v>—</v>
      </c>
    </row>
    <row r="14" customFormat="false" ht="15" hidden="false" customHeight="false" outlineLevel="0" collapsed="false">
      <c r="B14" s="21" t="s">
        <v>43</v>
      </c>
      <c r="C14" s="23" t="str">
        <f aca="false">IF('Tus datos'!$C$14="","—",'Tus datos'!$C$14)</f>
        <v>—</v>
      </c>
    </row>
    <row r="15" customFormat="false" ht="15" hidden="false" customHeight="false" outlineLevel="0" collapsed="false">
      <c r="B15" s="21" t="s">
        <v>54</v>
      </c>
      <c r="C15" s="22" t="str">
        <f aca="false">IF('Tus datos'!$C$15="","—",'Tus datos'!$C$15&amp;" días")</f>
        <v>—</v>
      </c>
    </row>
    <row r="17" customFormat="false" ht="21.75" hidden="false" customHeight="true" outlineLevel="0" collapsed="false">
      <c r="B17" s="24" t="s">
        <v>55</v>
      </c>
      <c r="C17" s="24" t="s">
        <v>56</v>
      </c>
      <c r="D17" s="25" t="s">
        <v>57</v>
      </c>
      <c r="E17" s="25" t="s">
        <v>58</v>
      </c>
      <c r="F17" s="25" t="s">
        <v>59</v>
      </c>
    </row>
    <row r="18" customFormat="false" ht="19.5" hidden="false" customHeight="true" outlineLevel="0" collapsed="false">
      <c r="B18" s="26" t="s">
        <v>60</v>
      </c>
      <c r="C18" s="27"/>
      <c r="D18" s="27"/>
      <c r="E18" s="27"/>
      <c r="F18" s="27"/>
    </row>
    <row r="19" customFormat="false" ht="45" hidden="false" customHeight="true" outlineLevel="0" collapsed="false">
      <c r="B19" s="28" t="s">
        <v>61</v>
      </c>
      <c r="C19" s="29" t="s">
        <v>62</v>
      </c>
      <c r="D19" s="30" t="n">
        <v>3</v>
      </c>
      <c r="E19" s="31"/>
      <c r="F19" s="32" t="n">
        <f aca="false">D19*E19</f>
        <v>0</v>
      </c>
    </row>
    <row r="20" customFormat="false" ht="31.5" hidden="false" customHeight="true" outlineLevel="0" collapsed="false">
      <c r="B20" s="28" t="s">
        <v>63</v>
      </c>
      <c r="C20" s="29" t="s">
        <v>64</v>
      </c>
      <c r="D20" s="30" t="n">
        <v>2</v>
      </c>
      <c r="E20" s="31"/>
      <c r="F20" s="32" t="n">
        <f aca="false">D20*E20</f>
        <v>0</v>
      </c>
    </row>
    <row r="21" customFormat="false" ht="31.5" hidden="false" customHeight="true" outlineLevel="0" collapsed="false">
      <c r="B21" s="28" t="s">
        <v>65</v>
      </c>
      <c r="C21" s="29" t="s">
        <v>66</v>
      </c>
      <c r="D21" s="30" t="n">
        <v>2</v>
      </c>
      <c r="E21" s="31"/>
      <c r="F21" s="32" t="n">
        <f aca="false">D21*E21</f>
        <v>0</v>
      </c>
    </row>
    <row r="22" customFormat="false" ht="31.5" hidden="false" customHeight="true" outlineLevel="0" collapsed="false">
      <c r="B22" s="28" t="s">
        <v>67</v>
      </c>
      <c r="C22" s="29" t="s">
        <v>68</v>
      </c>
      <c r="D22" s="30" t="n">
        <v>1</v>
      </c>
      <c r="E22" s="33" t="n">
        <v>125</v>
      </c>
      <c r="F22" s="32" t="n">
        <f aca="false">D22*E22</f>
        <v>125</v>
      </c>
    </row>
    <row r="23" customFormat="false" ht="45" hidden="false" customHeight="true" outlineLevel="0" collapsed="false">
      <c r="B23" s="28" t="s">
        <v>69</v>
      </c>
      <c r="C23" s="29" t="s">
        <v>70</v>
      </c>
      <c r="D23" s="30" t="n">
        <v>1</v>
      </c>
      <c r="E23" s="33" t="n">
        <v>35</v>
      </c>
      <c r="F23" s="32" t="n">
        <f aca="false">D23*E23</f>
        <v>35</v>
      </c>
    </row>
    <row r="24" customFormat="false" ht="31.5" hidden="false" customHeight="true" outlineLevel="0" collapsed="false">
      <c r="B24" s="28" t="s">
        <v>71</v>
      </c>
      <c r="C24" s="29" t="s">
        <v>72</v>
      </c>
      <c r="D24" s="30" t="n">
        <v>1</v>
      </c>
      <c r="E24" s="33" t="n">
        <v>35</v>
      </c>
      <c r="F24" s="32" t="n">
        <f aca="false">D24*E24</f>
        <v>35</v>
      </c>
    </row>
    <row r="25" customFormat="false" ht="15" hidden="false" customHeight="false" outlineLevel="0" collapsed="false">
      <c r="B25" s="34" t="s">
        <v>73</v>
      </c>
      <c r="C25" s="35"/>
      <c r="D25" s="35"/>
      <c r="E25" s="35"/>
      <c r="F25" s="36" t="n">
        <f aca="false">SUM(F19:F24)</f>
        <v>195</v>
      </c>
    </row>
    <row r="27" customFormat="false" ht="19.5" hidden="false" customHeight="true" outlineLevel="0" collapsed="false">
      <c r="B27" s="26" t="s">
        <v>74</v>
      </c>
      <c r="C27" s="27"/>
      <c r="D27" s="27"/>
      <c r="E27" s="27"/>
      <c r="F27" s="27"/>
    </row>
    <row r="28" customFormat="false" ht="84" hidden="false" customHeight="true" outlineLevel="0" collapsed="false">
      <c r="B28" s="28" t="s">
        <v>75</v>
      </c>
      <c r="C28" s="29" t="s">
        <v>76</v>
      </c>
      <c r="D28" s="30" t="n">
        <v>2</v>
      </c>
      <c r="E28" s="31"/>
      <c r="F28" s="32" t="n">
        <f aca="false">D28*E28</f>
        <v>0</v>
      </c>
    </row>
    <row r="29" customFormat="false" ht="15" hidden="false" customHeight="false" outlineLevel="0" collapsed="false">
      <c r="B29" s="34" t="s">
        <v>77</v>
      </c>
      <c r="C29" s="35"/>
      <c r="D29" s="35"/>
      <c r="E29" s="35"/>
      <c r="F29" s="36" t="n">
        <f aca="false">SUM(F28:F28)</f>
        <v>0</v>
      </c>
    </row>
    <row r="31" customFormat="false" ht="15" hidden="false" customHeight="false" outlineLevel="0" collapsed="false">
      <c r="D31" s="37" t="s">
        <v>78</v>
      </c>
      <c r="E31" s="37"/>
      <c r="F31" s="38" t="n">
        <f aca="false">F25+F29</f>
        <v>195</v>
      </c>
    </row>
    <row r="32" customFormat="false" ht="15" hidden="false" customHeight="false" outlineLevel="0" collapsed="false">
      <c r="D32" s="39" t="str">
        <f aca="false">"ISV ("&amp;IF('Tus datos'!$C$16="",0,'Tus datos'!$C$16)&amp;" %)"</f>
        <v>ISV (0 %)</v>
      </c>
      <c r="E32" s="39"/>
      <c r="F32" s="40" t="n">
        <f aca="false">IF('Tus datos'!$C$16="",0,F31*'Tus datos'!$C$16/100)</f>
        <v>0</v>
      </c>
    </row>
    <row r="33" customFormat="false" ht="21.75" hidden="false" customHeight="true" outlineLevel="0" collapsed="false">
      <c r="D33" s="41" t="s">
        <v>79</v>
      </c>
      <c r="E33" s="41"/>
      <c r="F33" s="42" t="n">
        <f aca="false">F31+F32</f>
        <v>195</v>
      </c>
    </row>
    <row r="35" customFormat="false" ht="15" hidden="false" customHeight="false" outlineLevel="0" collapsed="false">
      <c r="B35" s="26" t="s">
        <v>80</v>
      </c>
      <c r="C35" s="27"/>
      <c r="D35" s="27"/>
      <c r="E35" s="27"/>
      <c r="F35" s="27"/>
    </row>
    <row r="36" customFormat="false" ht="31.5" hidden="false" customHeight="true" outlineLevel="0" collapsed="false">
      <c r="B36" s="28" t="s">
        <v>81</v>
      </c>
      <c r="C36" s="29" t="s">
        <v>82</v>
      </c>
      <c r="D36" s="43" t="s">
        <v>83</v>
      </c>
      <c r="E36" s="31"/>
      <c r="F36" s="44"/>
    </row>
    <row r="37" customFormat="false" ht="31.5" hidden="false" customHeight="true" outlineLevel="0" collapsed="false">
      <c r="B37" s="28" t="s">
        <v>84</v>
      </c>
      <c r="C37" s="29" t="s">
        <v>85</v>
      </c>
      <c r="D37" s="43" t="s">
        <v>86</v>
      </c>
      <c r="E37" s="31"/>
      <c r="F37" s="44"/>
    </row>
    <row r="38" customFormat="false" ht="57.75" hidden="false" customHeight="true" outlineLevel="0" collapsed="false">
      <c r="B38" s="28" t="s">
        <v>87</v>
      </c>
      <c r="C38" s="29" t="s">
        <v>88</v>
      </c>
      <c r="D38" s="43" t="s">
        <v>86</v>
      </c>
      <c r="E38" s="31"/>
      <c r="F38" s="44"/>
    </row>
    <row r="40" customFormat="false" ht="15" hidden="false" customHeight="false" outlineLevel="0" collapsed="false">
      <c r="B40" s="14" t="s">
        <v>89</v>
      </c>
    </row>
    <row r="41" customFormat="false" ht="15" hidden="false" customHeight="false" outlineLevel="0" collapsed="false">
      <c r="B41" s="45"/>
      <c r="C41" s="45"/>
      <c r="D41" s="45"/>
      <c r="E41" s="45"/>
      <c r="F41" s="45"/>
    </row>
    <row r="42" customFormat="false" ht="15" hidden="false" customHeight="false" outlineLevel="0" collapsed="false">
      <c r="B42" s="45"/>
      <c r="C42" s="45"/>
      <c r="D42" s="45"/>
      <c r="E42" s="45"/>
      <c r="F42" s="45"/>
    </row>
    <row r="43" customFormat="false" ht="15" hidden="false" customHeight="false" outlineLevel="0" collapsed="false">
      <c r="B43" s="45"/>
      <c r="C43" s="45"/>
      <c r="D43" s="45"/>
      <c r="E43" s="45"/>
      <c r="F43" s="45"/>
    </row>
    <row r="44" customFormat="false" ht="15" hidden="false" customHeight="false" outlineLevel="0" collapsed="false">
      <c r="B44" s="45"/>
      <c r="C44" s="45"/>
      <c r="D44" s="45"/>
      <c r="E44" s="45"/>
      <c r="F44" s="45"/>
    </row>
    <row r="46" customFormat="false" ht="15" hidden="false" customHeight="false" outlineLevel="0" collapsed="false">
      <c r="B46" s="16" t="s">
        <v>90</v>
      </c>
    </row>
  </sheetData>
  <sheetProtection sheet="true"/>
  <mergeCells count="5">
    <mergeCell ref="E2:F6"/>
    <mergeCell ref="D31:E31"/>
    <mergeCell ref="D32:E32"/>
    <mergeCell ref="D33:E33"/>
    <mergeCell ref="B41:F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7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54"/>
    <col collapsed="false" customWidth="true" hidden="false" outlineLevel="0" max="4" min="4" style="0" width="10"/>
    <col collapsed="false" customWidth="true" hidden="false" outlineLevel="0" max="6" min="5" style="0" width="17"/>
  </cols>
  <sheetData>
    <row r="2" customFormat="false" ht="15" hidden="false" customHeight="true" outlineLevel="0" collapsed="false">
      <c r="B2" s="1" t="s">
        <v>49</v>
      </c>
      <c r="E2" s="20" t="s">
        <v>50</v>
      </c>
      <c r="F2" s="20"/>
    </row>
    <row r="3" customFormat="false" ht="22.05" hidden="false" customHeight="false" outlineLevel="0" collapsed="false">
      <c r="B3" s="2" t="s">
        <v>91</v>
      </c>
      <c r="E3" s="20"/>
      <c r="F3" s="20"/>
    </row>
    <row r="4" customFormat="false" ht="15" hidden="false" customHeight="false" outlineLevel="0" collapsed="false">
      <c r="B4" s="3" t="s">
        <v>52</v>
      </c>
      <c r="E4" s="20"/>
      <c r="F4" s="20"/>
    </row>
    <row r="5" customFormat="false" ht="15" hidden="false" customHeight="false" outlineLevel="0" collapsed="false">
      <c r="E5" s="20"/>
      <c r="F5" s="20"/>
    </row>
    <row r="6" customFormat="false" ht="15" hidden="false" customHeight="false" outlineLevel="0" collapsed="false">
      <c r="E6" s="20"/>
      <c r="F6" s="20"/>
    </row>
    <row r="8" customFormat="false" ht="15" hidden="false" customHeight="false" outlineLevel="0" collapsed="false">
      <c r="B8" s="21" t="s">
        <v>29</v>
      </c>
      <c r="C8" s="22" t="str">
        <f aca="false">IF('Tus datos'!$C$5="","—",'Tus datos'!$C$5)</f>
        <v>—</v>
      </c>
    </row>
    <row r="9" customFormat="false" ht="15" hidden="false" customHeight="false" outlineLevel="0" collapsed="false">
      <c r="B9" s="21" t="s">
        <v>53</v>
      </c>
      <c r="C9" s="22" t="str">
        <f aca="false">IF('Tus datos'!$C$6="","—",'Tus datos'!$C$6)</f>
        <v>—</v>
      </c>
    </row>
    <row r="10" customFormat="false" ht="15" hidden="false" customHeight="false" outlineLevel="0" collapsed="false">
      <c r="B10" s="21" t="s">
        <v>33</v>
      </c>
      <c r="C10" s="22" t="str">
        <f aca="false">IF('Tus datos'!$C$8="","—",'Tus datos'!$C$8)</f>
        <v>—</v>
      </c>
    </row>
    <row r="11" customFormat="false" ht="15" hidden="false" customHeight="false" outlineLevel="0" collapsed="false">
      <c r="B11" s="21" t="s">
        <v>34</v>
      </c>
      <c r="C11" s="22" t="str">
        <f aca="false">IF('Tus datos'!$C$9="","—",'Tus datos'!$C$9)</f>
        <v>—</v>
      </c>
    </row>
    <row r="12" customFormat="false" ht="15" hidden="false" customHeight="false" outlineLevel="0" collapsed="false">
      <c r="B12" s="21" t="s">
        <v>37</v>
      </c>
      <c r="C12" s="22" t="str">
        <f aca="false">IF('Tus datos'!$C$11="","—",'Tus datos'!$C$11)</f>
        <v>—</v>
      </c>
    </row>
    <row r="13" customFormat="false" ht="15" hidden="false" customHeight="false" outlineLevel="0" collapsed="false">
      <c r="B13" s="21" t="s">
        <v>41</v>
      </c>
      <c r="C13" s="22" t="str">
        <f aca="false">IF('Tus datos'!$C$13="","—",'Tus datos'!$C$13)</f>
        <v>—</v>
      </c>
    </row>
    <row r="14" customFormat="false" ht="15" hidden="false" customHeight="false" outlineLevel="0" collapsed="false">
      <c r="B14" s="21" t="s">
        <v>43</v>
      </c>
      <c r="C14" s="23" t="str">
        <f aca="false">IF('Tus datos'!$C$14="","—",'Tus datos'!$C$14)</f>
        <v>—</v>
      </c>
    </row>
    <row r="15" customFormat="false" ht="15" hidden="false" customHeight="false" outlineLevel="0" collapsed="false">
      <c r="B15" s="21" t="s">
        <v>54</v>
      </c>
      <c r="C15" s="22" t="str">
        <f aca="false">IF('Tus datos'!$C$15="","—",'Tus datos'!$C$15&amp;" días")</f>
        <v>—</v>
      </c>
    </row>
    <row r="17" customFormat="false" ht="21.75" hidden="false" customHeight="true" outlineLevel="0" collapsed="false">
      <c r="B17" s="24" t="s">
        <v>55</v>
      </c>
      <c r="C17" s="24" t="s">
        <v>56</v>
      </c>
      <c r="D17" s="25" t="s">
        <v>57</v>
      </c>
      <c r="E17" s="25" t="s">
        <v>58</v>
      </c>
      <c r="F17" s="25" t="s">
        <v>59</v>
      </c>
    </row>
    <row r="18" customFormat="false" ht="19.5" hidden="false" customHeight="true" outlineLevel="0" collapsed="false">
      <c r="B18" s="26" t="s">
        <v>92</v>
      </c>
      <c r="C18" s="27"/>
      <c r="D18" s="27"/>
      <c r="E18" s="27"/>
      <c r="F18" s="27"/>
    </row>
    <row r="19" customFormat="false" ht="45" hidden="false" customHeight="true" outlineLevel="0" collapsed="false">
      <c r="B19" s="28" t="s">
        <v>61</v>
      </c>
      <c r="C19" s="29" t="s">
        <v>62</v>
      </c>
      <c r="D19" s="30" t="n">
        <v>1</v>
      </c>
      <c r="E19" s="31"/>
      <c r="F19" s="32" t="n">
        <f aca="false">D19*E19</f>
        <v>0</v>
      </c>
    </row>
    <row r="20" customFormat="false" ht="31.5" hidden="false" customHeight="true" outlineLevel="0" collapsed="false">
      <c r="B20" s="28" t="s">
        <v>63</v>
      </c>
      <c r="C20" s="29" t="s">
        <v>64</v>
      </c>
      <c r="D20" s="30" t="n">
        <v>1</v>
      </c>
      <c r="E20" s="31"/>
      <c r="F20" s="32" t="n">
        <f aca="false">D20*E20</f>
        <v>0</v>
      </c>
    </row>
    <row r="21" customFormat="false" ht="31.5" hidden="false" customHeight="true" outlineLevel="0" collapsed="false">
      <c r="B21" s="28" t="s">
        <v>65</v>
      </c>
      <c r="C21" s="29" t="s">
        <v>66</v>
      </c>
      <c r="D21" s="30" t="n">
        <v>2</v>
      </c>
      <c r="E21" s="31"/>
      <c r="F21" s="32" t="n">
        <f aca="false">D21*E21</f>
        <v>0</v>
      </c>
    </row>
    <row r="22" customFormat="false" ht="31.5" hidden="false" customHeight="true" outlineLevel="0" collapsed="false">
      <c r="B22" s="28" t="s">
        <v>67</v>
      </c>
      <c r="C22" s="29" t="s">
        <v>93</v>
      </c>
      <c r="D22" s="30" t="n">
        <v>1</v>
      </c>
      <c r="E22" s="33" t="n">
        <v>80</v>
      </c>
      <c r="F22" s="32" t="n">
        <f aca="false">D22*E22</f>
        <v>80</v>
      </c>
    </row>
    <row r="23" customFormat="false" ht="31.5" hidden="false" customHeight="true" outlineLevel="0" collapsed="false">
      <c r="B23" s="28" t="s">
        <v>71</v>
      </c>
      <c r="C23" s="29" t="s">
        <v>72</v>
      </c>
      <c r="D23" s="30" t="n">
        <v>1</v>
      </c>
      <c r="E23" s="33" t="n">
        <v>35</v>
      </c>
      <c r="F23" s="32" t="n">
        <f aca="false">D23*E23</f>
        <v>35</v>
      </c>
    </row>
    <row r="24" customFormat="false" ht="15" hidden="false" customHeight="false" outlineLevel="0" collapsed="false">
      <c r="B24" s="34" t="s">
        <v>73</v>
      </c>
      <c r="C24" s="35"/>
      <c r="D24" s="35"/>
      <c r="E24" s="35"/>
      <c r="F24" s="36" t="n">
        <f aca="false">SUM(F19:F23)</f>
        <v>115</v>
      </c>
    </row>
    <row r="26" customFormat="false" ht="19.5" hidden="false" customHeight="true" outlineLevel="0" collapsed="false">
      <c r="B26" s="26" t="s">
        <v>94</v>
      </c>
      <c r="C26" s="27"/>
      <c r="D26" s="27"/>
      <c r="E26" s="27"/>
      <c r="F26" s="27"/>
    </row>
    <row r="27" customFormat="false" ht="84" hidden="false" customHeight="true" outlineLevel="0" collapsed="false">
      <c r="B27" s="28" t="s">
        <v>75</v>
      </c>
      <c r="C27" s="29" t="s">
        <v>95</v>
      </c>
      <c r="D27" s="30" t="n">
        <v>1</v>
      </c>
      <c r="E27" s="31"/>
      <c r="F27" s="32" t="n">
        <f aca="false">D27*E27</f>
        <v>0</v>
      </c>
    </row>
    <row r="28" customFormat="false" ht="15" hidden="false" customHeight="false" outlineLevel="0" collapsed="false">
      <c r="B28" s="34" t="s">
        <v>77</v>
      </c>
      <c r="C28" s="35"/>
      <c r="D28" s="35"/>
      <c r="E28" s="35"/>
      <c r="F28" s="36" t="n">
        <f aca="false">SUM(F27:F27)</f>
        <v>0</v>
      </c>
    </row>
    <row r="30" customFormat="false" ht="15" hidden="false" customHeight="false" outlineLevel="0" collapsed="false">
      <c r="D30" s="37" t="s">
        <v>78</v>
      </c>
      <c r="E30" s="37"/>
      <c r="F30" s="38" t="n">
        <f aca="false">F24+F28</f>
        <v>115</v>
      </c>
    </row>
    <row r="31" customFormat="false" ht="15" hidden="false" customHeight="false" outlineLevel="0" collapsed="false">
      <c r="D31" s="39" t="str">
        <f aca="false">"ISV ("&amp;IF('Tus datos'!$C$16="",0,'Tus datos'!$C$16)&amp;" %)"</f>
        <v>ISV (0 %)</v>
      </c>
      <c r="E31" s="39"/>
      <c r="F31" s="40" t="n">
        <f aca="false">IF('Tus datos'!$C$16="",0,F30*'Tus datos'!$C$16/100)</f>
        <v>0</v>
      </c>
    </row>
    <row r="32" customFormat="false" ht="21.75" hidden="false" customHeight="true" outlineLevel="0" collapsed="false">
      <c r="D32" s="41" t="s">
        <v>79</v>
      </c>
      <c r="E32" s="41"/>
      <c r="F32" s="42" t="n">
        <f aca="false">F30+F31</f>
        <v>115</v>
      </c>
    </row>
    <row r="34" customFormat="false" ht="15" hidden="false" customHeight="false" outlineLevel="0" collapsed="false">
      <c r="B34" s="26" t="s">
        <v>80</v>
      </c>
      <c r="C34" s="27"/>
      <c r="D34" s="27"/>
      <c r="E34" s="27"/>
      <c r="F34" s="27"/>
    </row>
    <row r="35" customFormat="false" ht="31.5" hidden="false" customHeight="true" outlineLevel="0" collapsed="false">
      <c r="B35" s="28" t="s">
        <v>81</v>
      </c>
      <c r="C35" s="29" t="s">
        <v>82</v>
      </c>
      <c r="D35" s="43" t="s">
        <v>83</v>
      </c>
      <c r="E35" s="31"/>
      <c r="F35" s="44"/>
    </row>
    <row r="36" customFormat="false" ht="57.75" hidden="false" customHeight="true" outlineLevel="0" collapsed="false">
      <c r="B36" s="28" t="s">
        <v>87</v>
      </c>
      <c r="C36" s="29" t="s">
        <v>88</v>
      </c>
      <c r="D36" s="43" t="s">
        <v>86</v>
      </c>
      <c r="E36" s="31"/>
      <c r="F36" s="44"/>
    </row>
    <row r="38" customFormat="false" ht="15" hidden="false" customHeight="false" outlineLevel="0" collapsed="false">
      <c r="B38" s="14" t="s">
        <v>89</v>
      </c>
    </row>
    <row r="39" customFormat="false" ht="15" hidden="false" customHeight="false" outlineLevel="0" collapsed="false">
      <c r="B39" s="45"/>
      <c r="C39" s="45"/>
      <c r="D39" s="45"/>
      <c r="E39" s="45"/>
      <c r="F39" s="45"/>
    </row>
    <row r="40" customFormat="false" ht="15" hidden="false" customHeight="false" outlineLevel="0" collapsed="false">
      <c r="B40" s="45"/>
      <c r="C40" s="45"/>
      <c r="D40" s="45"/>
      <c r="E40" s="45"/>
      <c r="F40" s="45"/>
    </row>
    <row r="41" customFormat="false" ht="15" hidden="false" customHeight="false" outlineLevel="0" collapsed="false">
      <c r="B41" s="45"/>
      <c r="C41" s="45"/>
      <c r="D41" s="45"/>
      <c r="E41" s="45"/>
      <c r="F41" s="45"/>
    </row>
    <row r="42" customFormat="false" ht="15" hidden="false" customHeight="false" outlineLevel="0" collapsed="false">
      <c r="B42" s="45"/>
      <c r="C42" s="45"/>
      <c r="D42" s="45"/>
      <c r="E42" s="45"/>
      <c r="F42" s="45"/>
    </row>
    <row r="44" customFormat="false" ht="15" hidden="false" customHeight="false" outlineLevel="0" collapsed="false">
      <c r="B44" s="16" t="s">
        <v>90</v>
      </c>
    </row>
  </sheetData>
  <sheetProtection sheet="true"/>
  <mergeCells count="5">
    <mergeCell ref="E2:F6"/>
    <mergeCell ref="D30:E30"/>
    <mergeCell ref="D31:E31"/>
    <mergeCell ref="D32:E32"/>
    <mergeCell ref="B39:F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5" min="3" style="0" width="18"/>
    <col collapsed="false" customWidth="true" hidden="false" outlineLevel="0" max="6" min="6" style="0" width="16"/>
    <col collapsed="false" customWidth="true" hidden="false" outlineLevel="0" max="7" min="7" style="0" width="18"/>
  </cols>
  <sheetData>
    <row r="2" customFormat="false" ht="15" hidden="false" customHeight="false" outlineLevel="0" collapsed="false">
      <c r="B2" s="1" t="s">
        <v>96</v>
      </c>
    </row>
    <row r="3" customFormat="false" ht="19.7" hidden="false" customHeight="false" outlineLevel="0" collapsed="false">
      <c r="B3" s="46" t="s">
        <v>97</v>
      </c>
    </row>
    <row r="4" customFormat="false" ht="15" hidden="false" customHeight="false" outlineLevel="0" collapsed="false">
      <c r="B4" s="3" t="s">
        <v>98</v>
      </c>
    </row>
    <row r="6" customFormat="false" ht="15" hidden="false" customHeight="false" outlineLevel="0" collapsed="false">
      <c r="B6" s="47" t="s">
        <v>99</v>
      </c>
      <c r="C6" s="48" t="s">
        <v>100</v>
      </c>
      <c r="D6" s="48" t="s">
        <v>101</v>
      </c>
      <c r="E6" s="48" t="s">
        <v>59</v>
      </c>
      <c r="F6" s="48" t="s">
        <v>102</v>
      </c>
      <c r="G6" s="48" t="s">
        <v>103</v>
      </c>
    </row>
    <row r="7" customFormat="false" ht="15" hidden="false" customHeight="false" outlineLevel="0" collapsed="false">
      <c r="B7" s="49" t="s">
        <v>104</v>
      </c>
      <c r="C7" s="50" t="n">
        <f aca="false">UNO!F25</f>
        <v>195</v>
      </c>
      <c r="D7" s="50" t="n">
        <f aca="false">UNO!F29</f>
        <v>0</v>
      </c>
      <c r="E7" s="50" t="n">
        <f aca="false">UNO!F31</f>
        <v>195</v>
      </c>
      <c r="F7" s="50" t="n">
        <f aca="false">UNO!F32</f>
        <v>0</v>
      </c>
      <c r="G7" s="51" t="n">
        <f aca="false">UNO!F33</f>
        <v>195</v>
      </c>
    </row>
    <row r="8" customFormat="false" ht="15" hidden="false" customHeight="false" outlineLevel="0" collapsed="false">
      <c r="B8" s="49" t="s">
        <v>105</v>
      </c>
      <c r="C8" s="50" t="n">
        <f aca="false">PRONTO!F24</f>
        <v>115</v>
      </c>
      <c r="D8" s="50" t="n">
        <f aca="false">PRONTO!F28</f>
        <v>0</v>
      </c>
      <c r="E8" s="50" t="n">
        <f aca="false">PRONTO!F30</f>
        <v>115</v>
      </c>
      <c r="F8" s="50" t="n">
        <f aca="false">PRONTO!F31</f>
        <v>0</v>
      </c>
      <c r="G8" s="51" t="n">
        <f aca="false">PRONTO!F32</f>
        <v>115</v>
      </c>
    </row>
  </sheetData>
  <sheetProtection sheet="tru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2026-10-26T21:48:26Z</dcterms:created>
  <dc:creator>openpyxl</dc:creator>
  <dc:description/>
  <dc:language>en-US</dc:language>
  <cp:lastModifiedBy/>
  <dcterms:modified xsi:type="dcterms:W3CDTF">2026-10-26T21:48:26Z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